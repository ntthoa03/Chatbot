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38dd6397049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9a017c188983423e"/>
    <x:sheet xmlns:r="http://schemas.openxmlformats.org/officeDocument/2006/relationships" name="Case chi tiết" sheetId="2" r:id="Rdd41819b01d4467d"/>
    <x:sheet xmlns:r="http://schemas.openxmlformats.org/officeDocument/2006/relationships" name="Hướng dẫn hằng ngày" sheetId="3" r:id="R84c3f5463eb0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:ss"/>
  </x:numFmts>
  <x:fonts count="7">
    <x:font>
      <x:sz val="11"/>
      <x:name val="Carlito"/>
    </x:font>
    <x:font>
      <x:b/>
      <x:sz val="18"/>
      <x:color rgb="FFFFFF"/>
      <x:name val="Carlito"/>
    </x:font>
    <x:font>
      <x:i/>
      <x:sz val="10"/>
      <x:color rgb="17324D"/>
      <x:name val="Carlito"/>
    </x:font>
    <x:font>
      <x:b/>
      <x:sz val="11"/>
      <x:color rgb="FFFFFF"/>
      <x:name val="Carlito"/>
    </x:font>
    <x:font>
      <x:b/>
      <x:sz val="18"/>
      <x:color rgb="17324D"/>
      <x:name val="Carlito"/>
    </x:font>
    <x:font>
      <x:sz val="11"/>
      <x:color rgb="263442"/>
      <x:name val="Carlito"/>
    </x:font>
    <x:font>
      <x:sz val="9"/>
      <x:color rgb="26344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EAF2F8"/>
      </x:patternFill>
    </x:fill>
    <x:fill>
      <x:patternFill patternType="solid">
        <x:fgColor rgb="0F766E"/>
      </x:patternFill>
    </x:fill>
    <x:fill>
      <x:patternFill patternType="solid">
        <x:fgColor rgb="F7F9FC"/>
      </x:patternFill>
    </x:fill>
    <x:fill>
      <x:patternFill patternType="solid">
        <x:fgColor rgb="FFFFFF"/>
      </x:patternFill>
    </x:fill>
    <x:fill>
      <x:patternFill patternType="solid">
        <x:fgColor rgb="FFF4D6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157347"/>
      </x:font>
      <x:fill>
        <x:patternFill patternType="solid">
          <x:bgColor rgb="DFF2E1"/>
        </x:patternFill>
      </x:fill>
    </x:dxf>
    <x:dxf>
      <x:font>
        <x:b/>
        <x:color rgb="B42318"/>
      </x:font>
      <x:fill>
        <x:patternFill patternType="solid">
          <x:bgColor rgb="FDE4E1"/>
        </x:patternFill>
      </x:fill>
    </x:dxf>
    <x:dxf>
      <x:fill>
        <x:patternFill patternType="solid">
          <x:bgColor rgb="F7F9FC"/>
        </x:patternFill>
      </x:fill>
    </x:dxf>
    <x:dxf>
      <x:font>
        <x:b/>
        <x:color rgb="B42318"/>
      </x:font>
      <x:fill>
        <x:patternFill patternType="solid">
          <x:bgColor rgb="FDE4E1"/>
        </x:patternFill>
      </x:fill>
    </x:dxf>
    <x:dxf>
      <x:font>
        <x:b/>
        <x:color rgb="157347"/>
      </x:font>
      <x:fill>
        <x:patternFill patternType="solid">
          <x:bgColor rgb="DDF4F0"/>
        </x:patternFill>
      </x:fill>
    </x:dxf>
    <x:dxf>
      <x:fill>
        <x:patternFill patternType="solid">
          <x:bgColor rgb="F7F9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ae674725b4c48" /><Relationship Type="http://schemas.openxmlformats.org/officeDocument/2006/relationships/theme" Target="/xl/theme/theme1.xml" Id="Rb533aea0fcb8463e" /><Relationship Type="http://schemas.openxmlformats.org/officeDocument/2006/relationships/sharedStrings" Target="/xl/sharedStrings.xml" Id="R304c77f762d1404c" /><Relationship Type="http://schemas.openxmlformats.org/officeDocument/2006/relationships/worksheet" Target="/xl/worksheets/sheet1.xml" Id="R9a017c188983423e" /><Relationship Type="http://schemas.openxmlformats.org/officeDocument/2006/relationships/worksheet" Target="/xl/worksheets/sheet2.xml" Id="Rdd41819b01d4467d" /><Relationship Type="http://schemas.openxmlformats.org/officeDocument/2006/relationships/worksheet" Target="/xl/worksheets/sheet3.xml" Id="R84c3f5463eb04d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d6efba2c1e4c5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Tỷ trọng nhóm lỗi</a:t>
            </a:r>
          </a:p>
        </c:rich>
      </c:tx>
      <c:overlay val="0"/>
    </c:title>
    <c:autoTitleDeleted val="0"/>
    <c:view3D/>
    <c:plotArea>
      <c:layout/>
      <c:doughnutChart>
        <c:ser>
          <c:idx val="0"/>
          <c:order val="0"/>
          <c:tx>
            <c:v>Số case</c:v>
          </c:tx>
          <c:cat>
            <c:strRef>
              <c:f>'Tổng quan'!$A$11:$A$14</c:f>
              <c:strCache>
                <c:ptCount val="0"/>
              </c:strCache>
            </c:strRef>
          </c:cat>
          <c:val>
            <c:numRef>
              <c:f>'Tổng quan'!$B$11:$B$14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d6efba2c1e4c5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311CasesTable" displayName="H311CasesTable" ref="A5:L9" headerRowCount="1">
  <x:tableColumns count="12">
    <x:tableColumn id="1" name="Case ID"/>
    <x:tableColumn id="2" name="Ngày review"/>
    <x:tableColumn id="3" name="Tenant"/>
    <x:tableColumn id="4" name="Nhóm lỗi"/>
    <x:tableColumn id="5" name="Câu hỏi"/>
    <x:tableColumn id="6" name="Reply sai"/>
    <x:tableColumn id="7" name="Hành vi mong đợi"/>
    <x:tableColumn id="8" name="Gợi ý nguyên nhân"/>
    <x:tableColumn id="9" name="Trace ID"/>
    <x:tableColumn id="10" name="Log nguồn"/>
    <x:tableColumn id="11" name="Thời điểm log"/>
    <x:tableColumn id="12" name="Trạng thá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389600328b247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0d97e24bc948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43000030517578" hidden="0" customWidth="1"/>
    <x:col min="2" max="2" width="12.14000034332275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.5" customHeight="1">
      <x:c r="A1" s="8" t="str">
        <x:v>H3-11 — THEO DÕI CHẤT LƯỢNG TỪ LOG SALE</x:v>
      </x:c>
      <x:c r="B1" s="8"/>
      <x:c r="C1" s="8"/>
      <x:c r="D1" s="8"/>
      <x:c r="E1" s="8"/>
      <x:c r="F1" s="8"/>
      <x:c r="G1" s="8"/>
      <x:c r="H1" s="8"/>
    </x:row>
    <x:row r="2" ht="28.5" customHeight="1">
      <x:c r="A2" s="8"/>
      <x:c r="B2" s="8"/>
      <x:c r="C2" s="8"/>
      <x:c r="D2" s="8"/>
      <x:c r="E2" s="8"/>
      <x:c r="F2" s="8"/>
      <x:c r="G2" s="8"/>
      <x:c r="H2" s="8"/>
    </x:row>
    <x:row r="3" ht="21" customHeight="1">
      <x:c r="A3" s="14" t="str">
        <x:v>Ngày review 2026-08-27 · nguồn: log UI và feedback Sale · yêu cầu tối thiểu 2 case mới/ngày</x:v>
      </x:c>
      <x:c r="B3" s="14"/>
      <x:c r="C3" s="14"/>
      <x:c r="D3" s="14"/>
      <x:c r="E3" s="14"/>
      <x:c r="F3" s="14"/>
      <x:c r="G3" s="14"/>
      <x:c r="H3" s="14"/>
    </x:row>
    <x:row r="5">
      <x:c r="A5" s="22" t="str">
        <x:v>CASE MỚI</x:v>
      </x:c>
      <x:c r="B5" s="22"/>
      <x:c r="C5" s="22" t="str">
        <x:v>TỐI THIỂU</x:v>
      </x:c>
      <x:c r="D5" s="22"/>
      <x:c r="E5" s="22" t="str">
        <x:v>TRẠNG THÁI DOD</x:v>
      </x:c>
      <x:c r="F5" s="22"/>
      <x:c r="G5" s="22" t="str">
        <x:v>SỐ NHÓM CÓ LỖI</x:v>
      </x:c>
      <x:c r="H5" s="22"/>
    </x:row>
    <x:row r="6">
      <x:c r="A6" s="30" t="n">
        <x:f>COUNTA('Case chi tiết'!$A$6:$A$200)</x:f>
        <x:v>4</x:v>
      </x:c>
      <x:c r="B6" s="30"/>
      <x:c r="C6" s="30" t="n">
        <x:v>2</x:v>
      </x:c>
      <x:c r="D6" s="30"/>
      <x:c r="E6" s="30" t="str">
        <x:f>IF(A6&gt;=C6,"ĐẠT","CHƯA ĐẠT")</x:f>
        <x:v>ĐẠT</x:v>
      </x:c>
      <x:c r="F6" s="30"/>
      <x:c r="G6" s="30" t="n">
        <x:f>COUNTIF(B11:B14,"&gt;0")</x:f>
        <x:v>4</x:v>
      </x:c>
      <x:c r="H6" s="30"/>
    </x:row>
    <x:row r="7">
      <x:c r="A7" s="30"/>
      <x:c r="B7" s="30"/>
      <x:c r="C7" s="30"/>
      <x:c r="D7" s="30"/>
      <x:c r="E7" s="30"/>
      <x:c r="F7" s="30"/>
      <x:c r="G7" s="30"/>
      <x:c r="H7" s="30"/>
    </x:row>
    <x:row r="9">
      <x:c r="A9" s="32" t="str">
        <x:v>PHÂN LOẠI LỖI</x:v>
      </x:c>
      <x:c r="B9" s="32"/>
      <x:c r="C9" s="32"/>
      <x:c r="D9" s="32"/>
    </x:row>
    <x:row r="10" ht="22.5" customHeight="1">
      <x:c r="A10" s="38" t="str">
        <x:v>Nhóm lỗi</x:v>
      </x:c>
      <x:c r="B10" s="38" t="str">
        <x:v>Số case</x:v>
      </x:c>
    </x:row>
    <x:row r="11">
      <x:c r="A11" s="44" t="str">
        <x:v>Thiếu dữ liệu</x:v>
      </x:c>
      <x:c r="B11" s="46" t="n">
        <x:f>COUNTIF('Case chi tiết'!$D$6:$D$200,"Thiếu dữ liệu")</x:f>
        <x:v>1</x:v>
      </x:c>
    </x:row>
    <x:row r="12">
      <x:c r="A12" s="44" t="str">
        <x:v>Hiểu sai ý</x:v>
      </x:c>
      <x:c r="B12" s="46" t="n">
        <x:f>COUNTIF('Case chi tiết'!$D$6:$D$200,"Hiểu sai ý")</x:f>
        <x:v>1</x:v>
      </x:c>
    </x:row>
    <x:row r="13">
      <x:c r="A13" s="44" t="str">
        <x:v>Trả lời khô cứng</x:v>
      </x:c>
      <x:c r="B13" s="46" t="n">
        <x:f>COUNTIF('Case chi tiết'!$D$6:$D$200,"Trả lời khô cứng")</x:f>
        <x:v>1</x:v>
      </x:c>
    </x:row>
    <x:row r="14">
      <x:c r="A14" s="44" t="str">
        <x:v>Guardrail chặn nhầm</x:v>
      </x:c>
      <x:c r="B14" s="46" t="n">
        <x:f>COUNTIF('Case chi tiết'!$D$6:$D$200,"Guardrail chặn nhầm")</x:f>
        <x:v>1</x:v>
      </x:c>
    </x:row>
    <x:row r="17">
      <x:c r="A17" s="32" t="str">
        <x:v>KẾT LUẬN REVIEW</x:v>
      </x:c>
      <x:c r="B17" s="32"/>
      <x:c r="C17" s="32"/>
      <x:c r="D17" s="32"/>
      <x:c r="E17" s="32"/>
      <x:c r="F17" s="32"/>
      <x:c r="G17" s="32"/>
      <x:c r="H17" s="32"/>
    </x:row>
    <x:row r="18">
      <x:c r="A18" s="54" t="str">
        <x:v>Đã rút 4 case mới có trace thực tế và đưa vào eval. Mẫu lỗi nổi bật là fallback/chặn nhầm khi khách dùng câu tự nhiên, không dấu hoặc nêu khoảng ngân sách. Ưu tiên sửa theo thứ tự: guardrail chặn nhầm → hiểu sai ý → thiếu dữ liệu → độ tự nhiên của lời chào.</x:v>
      </x:c>
      <x:c r="B18" s="54"/>
      <x:c r="C18" s="54"/>
      <x:c r="D18" s="54"/>
      <x:c r="E18" s="54"/>
      <x:c r="F18" s="54"/>
      <x:c r="G18" s="54"/>
      <x:c r="H18" s="54"/>
    </x:row>
    <x:row r="19">
      <x:c r="A19" s="54"/>
      <x:c r="B19" s="54"/>
      <x:c r="C19" s="54"/>
      <x:c r="D19" s="54"/>
      <x:c r="E19" s="54"/>
      <x:c r="F19" s="54"/>
      <x:c r="G19" s="54"/>
      <x:c r="H19" s="54"/>
    </x:row>
    <x:row r="20">
      <x:c r="A20" s="54"/>
      <x:c r="B20" s="54"/>
      <x:c r="C20" s="54"/>
      <x:c r="D20" s="54"/>
      <x:c r="E20" s="54"/>
      <x:c r="F20" s="54"/>
      <x:c r="G20" s="54"/>
      <x:c r="H20" s="54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D9"/>
    <x:mergeCell ref="A17:H17"/>
    <x:mergeCell ref="A18:H20"/>
  </x:mergeCells>
  <x:conditionalFormatting sqref="E6:F7">
    <x:cfRule type="expression" dxfId="0" priority="1">
      <x:formula>E6="ĐẠT"</x:formula>
    </x:cfRule>
    <x:cfRule type="expression" dxfId="1" priority="2">
      <x:formula>E6="CHƯA ĐẠT"</x:formula>
    </x:cfRule>
  </x:conditionalFormatting>
  <x:conditionalFormatting sqref="B11:B14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{FB8E5F46-46A3-7D29-EA8E-7EFE5B690390}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1389600328b247c6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FB8E5F46-46A3-7D29-EA8E-7EFE5B690390}">
            <x14:dataBar gradient="1">
              <x14:cfvo type="min"/>
              <x14:cfvo type="max"/>
              <x14:fillColor rgb="FFA02B93"/>
            </x14:dataBar>
          </x14:cfRule>
          <xm:sqref>B11:B14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709999084472656" hidden="0" customWidth="1"/>
    <x:col min="2" max="2" width="12.859999656677246" hidden="0" customWidth="1"/>
    <x:col min="3" max="3" width="15" hidden="0" customWidth="1"/>
    <x:col min="4" max="4" width="20" hidden="0" customWidth="1"/>
    <x:col min="5" max="5" width="33.56999969482422" hidden="0" customWidth="1"/>
    <x:col min="6" max="6" width="44.290000915527344" hidden="0" customWidth="1"/>
    <x:col min="7" max="7" width="44.290000915527344" hidden="0" customWidth="1"/>
    <x:col min="8" max="8" width="39.290000915527344" hidden="0" customWidth="1"/>
    <x:col min="9" max="9" width="37.86000061035156" hidden="0" customWidth="1"/>
    <x:col min="10" max="10" width="26.43000030517578" hidden="0" customWidth="1"/>
    <x:col min="11" max="11" width="26.43000030517578" hidden="0" customWidth="1"/>
    <x:col min="12" max="12" width="10.710000038146973" hidden="0" customWidth="1"/>
  </x:cols>
  <x:sheetData>
    <x:row r="1" ht="28.5" customHeight="1">
      <x:c r="A1" s="8" t="str">
        <x:v>H3-11 — CASE BỔ SUNG TỪ LOG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2" ht="28.5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21" customHeight="1">
      <x:c r="A3" s="14" t="str">
        <x:v>Mỗi dòng là một lỗi mới có nguồn log, trace và hành vi mong đợi; lọc theo nhóm lỗi hoặc trạng thái.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5" ht="22.5" customHeight="1">
      <x:c r="A5" s="38" t="str">
        <x:v>Case ID</x:v>
      </x:c>
      <x:c r="B5" s="38" t="str">
        <x:v>Ngày review</x:v>
      </x:c>
      <x:c r="C5" s="38" t="str">
        <x:v>Tenant</x:v>
      </x:c>
      <x:c r="D5" s="38" t="str">
        <x:v>Nhóm lỗi</x:v>
      </x:c>
      <x:c r="E5" s="38" t="str">
        <x:v>Câu hỏi</x:v>
      </x:c>
      <x:c r="F5" s="38" t="str">
        <x:v>Reply sai</x:v>
      </x:c>
      <x:c r="G5" s="38" t="str">
        <x:v>Hành vi mong đợi</x:v>
      </x:c>
      <x:c r="H5" s="38" t="str">
        <x:v>Gợi ý nguyên nhân</x:v>
      </x:c>
      <x:c r="I5" s="38" t="str">
        <x:v>Trace ID</x:v>
      </x:c>
      <x:c r="J5" s="38" t="str">
        <x:v>Log nguồn</x:v>
      </x:c>
      <x:c r="K5" s="38" t="str">
        <x:v>Thời điểm log</x:v>
      </x:c>
      <x:c r="L5" s="38" t="str">
        <x:v>Trạng thái</x:v>
      </x:c>
    </x:row>
    <x:row r="6" ht="63" customHeight="1">
      <x:c r="A6" s="60" t="str">
        <x:v>H311-20260827-01</x:v>
      </x:c>
      <x:c r="B6" s="62" t="str">
        <x:v>2026-08-27</x:v>
      </x:c>
      <x:c r="C6" s="60" t="str">
        <x:v>mima_internal</x:v>
      </x:c>
      <x:c r="D6" s="60" t="str">
        <x:v>Thiếu dữ liệu</x:v>
      </x:c>
      <x:c r="E6" s="60" t="str">
        <x:v>tư vấn cho toi dich vu tiet ke website</x:v>
      </x:c>
      <x:c r="F6" s="60" t="str">
        <x:v>Hiện em chưa có đủ dữ liệu để trả lời chính xác. Anh/chị có thể mô tả rõ hơn nhu cầu để em kiểm tra tiếp không ạ?</x:v>
      </x:c>
      <x:c r="G6" s="60" t="str">
        <x:v>Nhận ra nhu cầu thiết kế website và giới thiệu được ít nhất một gói có trong dữ liệu MIMA, không báo thiếu dữ liệu.</x:v>
      </x:c>
      <x:c r="H6" s="60" t="str">
        <x:v>Retrieval/fallback không tận dụng dữ liệu bảng giá website đã có.</x:v>
      </x:c>
      <x:c r="I6" s="60" t="str">
        <x:v>ea1738ef-b58d-42cb-8bd9-2dd970de8f38</x:v>
      </x:c>
      <x:c r="J6" s="60" t="str">
        <x:v>outputs/sale_feedback.jsonl</x:v>
      </x:c>
      <x:c r="K6" s="64" t="n">
        <x:v>46251.31464384259</x:v>
      </x:c>
      <x:c r="L6" s="66" t="str">
        <x:v>Mới</x:v>
      </x:c>
    </x:row>
    <x:row r="7" ht="63" customHeight="1">
      <x:c r="A7" s="60" t="str">
        <x:v>H311-20260827-02</x:v>
      </x:c>
      <x:c r="B7" s="62" t="str">
        <x:v>2026-08-27</x:v>
      </x:c>
      <x:c r="C7" s="60" t="str">
        <x:v>mima_internal</x:v>
      </x:c>
      <x:c r="D7" s="60" t="str">
        <x:v>Hiểu sai ý</x:v>
      </x:c>
      <x:c r="E7" s="60" t="str">
        <x:v>tư vấn cho tôi dich vụ 15-30tr</x:v>
      </x:c>
      <x:c r="F7" s="60" t="str">
        <x:v>Hiện em chưa có đủ dữ liệu để trả lời chính xác. Bot chỉ gợi ý ba gói website dưới 10 triệu rồi chuyển người phụ trách.</x:v>
      </x:c>
      <x:c r="G7" s="60" t="str">
        <x:v>Hiểu đây là khoảng ngân sách; gợi ý gói website 17 triệu nếu phù hợp hoặc hỏi khách muốn loại dịch vụ nào, không chuyển người ngay.</x:v>
      </x:c>
      <x:c r="H7" s="60" t="str">
        <x:v>Câu hỏi có ngân sách nhưng thiếu tên dịch vụ bị đẩy sang fallback thay vì hỏi làm rõ hoặc lọc theo giá.</x:v>
      </x:c>
      <x:c r="I7" s="60" t="str">
        <x:v>6aadfd08-f9ed-4249-92da-95293e10f5b8</x:v>
      </x:c>
      <x:c r="J7" s="60" t="str">
        <x:v>outputs/sale_ui_turns.jsonl</x:v>
      </x:c>
      <x:c r="K7" s="64" t="n">
        <x:v>46256.11010320602</x:v>
      </x:c>
      <x:c r="L7" s="66" t="str">
        <x:v>Mới</x:v>
      </x:c>
    </x:row>
    <x:row r="8" ht="63" customHeight="1">
      <x:c r="A8" s="60" t="str">
        <x:v>H311-20260827-03</x:v>
      </x:c>
      <x:c r="B8" s="62" t="str">
        <x:v>2026-08-27</x:v>
      </x:c>
      <x:c r="C8" s="60" t="str">
        <x:v>mima_internal</x:v>
      </x:c>
      <x:c r="D8" s="60" t="str">
        <x:v>Trả lời khô cứng</x:v>
      </x:c>
      <x:c r="E8" s="60" t="str">
        <x:v>hello</x:v>
      </x:c>
      <x:c r="F8" s="60" t="str">
        <x:v>Hiện em chưa có đủ dữ liệu để trả lời chính xác. Anh/chị có thể mô tả rõ hơn nhu cầu để em kiểm tra tiếp không ạ?</x:v>
      </x:c>
      <x:c r="G8" s="60" t="str">
        <x:v>Chào lại tự nhiên và hỏi khách cần hỗ trợ dịch vụ gì; không dùng fallback thiếu dữ liệu cho lời chào.</x:v>
      </x:c>
      <x:c r="H8" s="60" t="str">
        <x:v>Small-talk chưa có nhánh phản hồi tự nhiên trước RAG fallback.</x:v>
      </x:c>
      <x:c r="I8" s="60" t="str">
        <x:v>303384fc-7dde-448e-8d29-f297a363cd2e</x:v>
      </x:c>
      <x:c r="J8" s="60" t="str">
        <x:v>outputs/sale_feedback.jsonl</x:v>
      </x:c>
      <x:c r="K8" s="64" t="n">
        <x:v>46251.371905555556</x:v>
      </x:c>
      <x:c r="L8" s="66" t="str">
        <x:v>Mới</x:v>
      </x:c>
    </x:row>
    <x:row r="9" ht="63" customHeight="1">
      <x:c r="A9" s="60" t="str">
        <x:v>H311-20260827-04</x:v>
      </x:c>
      <x:c r="B9" s="62" t="str">
        <x:v>2026-08-27</x:v>
      </x:c>
      <x:c r="C9" s="60" t="str">
        <x:v>mima_internal</x:v>
      </x:c>
      <x:c r="D9" s="60" t="str">
        <x:v>Guardrail chặn nhầm</x:v>
      </x:c>
      <x:c r="E9" s="60" t="str">
        <x:v>tư vấn cho tôi gói thiet ke web 15-30tr</x:v>
      </x:c>
      <x:c r="F9" s="60" t="str">
        <x:v>Phần này em xin phép kết nối anh/chị với chuyên viên tư vấn ạ. Bot yêu cầu tên và số điện thoại ngay thay vì tư vấn gói website có giá công khai.</x:v>
      </x:c>
      <x:c r="G9" s="60" t="str">
        <x:v>Tư vấn gói Chuyên nghiệp 12 triệu và Cao cấp 17 triệu theo config; không gắn cờ chuyển người chỉ vì khách nêu ngân sách.</x:v>
      </x:c>
      <x:c r="H9" s="60" t="str">
        <x:v>Nhận diện báo giá/biên ngân sách quá rộng làm nhầm yêu cầu hợp lệ thành tình huống cần chặn.</x:v>
      </x:c>
      <x:c r="I9" s="60" t="str">
        <x:v>4cecf077-6dd7-48c9-be92-bd2ae80279fe</x:v>
      </x:c>
      <x:c r="J9" s="60" t="str">
        <x:v>outputs/sale_ui_turns.jsonl</x:v>
      </x:c>
      <x:c r="K9" s="64" t="n">
        <x:v>46256.097834409724</x:v>
      </x:c>
      <x:c r="L9" s="66" t="str">
        <x:v>Mới</x:v>
      </x:c>
    </x:row>
  </x:sheetData>
  <x:mergeCells>
    <x:mergeCell ref="A1:L2"/>
    <x:mergeCell ref="A3:L3"/>
  </x:mergeCells>
  <x:conditionalFormatting sqref="A6:L9">
    <x:cfRule type="expression" dxfId="2" priority="1">
      <x:formula>MOD(ROW(),2)=0</x:formula>
    </x:cfRule>
  </x:conditionalFormatting>
  <x:conditionalFormatting sqref="D6:D9">
    <x:cfRule type="expression" dxfId="3" priority="2">
      <x:formula>D6="Guardrail chặn nhầm"</x:formula>
    </x:cfRule>
  </x:conditionalFormatting>
  <x:conditionalFormatting sqref="L6:L9">
    <x:cfRule type="expression" dxfId="4" priority="3">
      <x:formula>L6="Mới"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90d97e24bc948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40000343322754" hidden="0" customWidth="1"/>
    <x:col min="2" max="2" width="12.140000343322754" hidden="0" customWidth="1"/>
    <x:col min="3" max="3" width="33.56999969482422" hidden="0" customWidth="1"/>
    <x:col min="4" max="4" width="25" hidden="0" customWidth="1"/>
    <x:col min="5" max="5" width="29.290000915527344" hidden="0" customWidth="1"/>
    <x:col min="6" max="6" width="29.290000915527344" hidden="0" customWidth="1"/>
    <x:col min="7" max="7" width="47.86000061035156" hidden="0" customWidth="1"/>
  </x:cols>
  <x:sheetData>
    <x:row r="1" ht="28.5" customHeight="1">
      <x:c r="A1" s="8" t="str">
        <x:v>H3-11 — QUY TRÌNH REVIEW 30 PHÚT CUỐI NGÀY</x:v>
      </x:c>
      <x:c r="B1" s="8"/>
      <x:c r="C1" s="8"/>
      <x:c r="D1" s="8"/>
      <x:c r="E1" s="8"/>
      <x:c r="F1" s="8"/>
      <x:c r="G1" s="8"/>
    </x:row>
    <x:row r="2" ht="28.5" customHeight="1">
      <x:c r="A2" s="8"/>
      <x:c r="B2" s="8"/>
      <x:c r="C2" s="8"/>
      <x:c r="D2" s="8"/>
      <x:c r="E2" s="8"/>
      <x:c r="F2" s="8"/>
      <x:c r="G2" s="8"/>
    </x:row>
    <x:row r="3" ht="21" customHeight="1">
      <x:c r="A3" s="14" t="str">
        <x:v>Mục tiêu: case có bằng chứng, không tự nghĩ case; tối thiểu 2 case mới/ngày.</x:v>
      </x:c>
      <x:c r="B3" s="14"/>
      <x:c r="C3" s="14"/>
      <x:c r="D3" s="14"/>
      <x:c r="E3" s="14"/>
      <x:c r="F3" s="14"/>
      <x:c r="G3" s="14"/>
    </x:row>
    <x:row r="5" ht="22.5" customHeight="1">
      <x:c r="A5" s="38" t="str">
        <x:v>Bước</x:v>
      </x:c>
      <x:c r="B5" s="38" t="str">
        <x:v>Phút</x:v>
      </x:c>
      <x:c r="C5" s="38" t="str">
        <x:v>Việc cần làm</x:v>
      </x:c>
      <x:c r="D5" s="38" t="str">
        <x:v>Đầu ra</x:v>
      </x:c>
      <x:c r="E5" s="38" t="str">
        <x:v>Điều kiện đạt</x:v>
      </x:c>
      <x:c r="F5" s="38" t="str">
        <x:v>Không làm</x:v>
      </x:c>
      <x:c r="G5" s="38" t="str">
        <x:v>Lệnh kiểm tra</x:v>
      </x:c>
    </x:row>
    <x:row r="6" ht="51" customHeight="1">
      <x:c r="A6" s="60" t="n">
        <x:v>1</x:v>
      </x:c>
      <x:c r="B6" s="60" t="n">
        <x:v>5</x:v>
      </x:c>
      <x:c r="C6" s="60" t="str">
        <x:v>Lọc log UI/feedback mới từ lần review trước</x:v>
      </x:c>
      <x:c r="D6" s="60" t="str">
        <x:v>Danh sách trace ứng viên</x:v>
      </x:c>
      <x:c r="E6" s="60" t="str">
        <x:v>Có tenant, thời gian, trace</x:v>
      </x:c>
      <x:c r="F6" s="60" t="str">
        <x:v>Không chọn theo cảm giác</x:v>
      </x:c>
      <x:c r="G6" s="60" t="str">
        <x:v>rg -n "question|reply" outputs/sale_*.jsonl</x:v>
      </x:c>
    </x:row>
    <x:row r="7" ht="51" customHeight="1">
      <x:c r="A7" s="60" t="n">
        <x:v>2</x:v>
      </x:c>
      <x:c r="B7" s="60" t="n">
        <x:v>10</x:v>
      </x:c>
      <x:c r="C7" s="60" t="str">
        <x:v>Đọc câu hỏi và reply, đối chiếu nguồn RAG/guardrail</x:v>
      </x:c>
      <x:c r="D7" s="60" t="str">
        <x:v>Lỗi có bằng chứng</x:v>
      </x:c>
      <x:c r="E7" s="60" t="str">
        <x:v>Giữ nguyên câu hỏi và reply sai</x:v>
      </x:c>
      <x:c r="F7" s="60" t="str">
        <x:v>Không sửa reply để lỗi trông rõ hơn</x:v>
      </x:c>
      <x:c r="G7" s="60" t="str"/>
    </x:row>
    <x:row r="8" ht="51" customHeight="1">
      <x:c r="A8" s="60" t="n">
        <x:v>3</x:v>
      </x:c>
      <x:c r="B8" s="60" t="n">
        <x:v>5</x:v>
      </x:c>
      <x:c r="C8" s="60" t="str">
        <x:v>Gắn đúng 1 nhóm lỗi chính</x:v>
      </x:c>
      <x:c r="D8" s="60" t="str">
        <x:v>Tag thống nhất</x:v>
      </x:c>
      <x:c r="E8" s="60" t="str">
        <x:v>Dùng 4 nhóm H3-11</x:v>
      </x:c>
      <x:c r="F8" s="60" t="str">
        <x:v>Không phát sinh tag tùy ý</x:v>
      </x:c>
      <x:c r="G8" s="60" t="str"/>
    </x:row>
    <x:row r="9" ht="51" customHeight="1">
      <x:c r="A9" s="60" t="n">
        <x:v>4</x:v>
      </x:c>
      <x:c r="B9" s="60" t="n">
        <x:v>5</x:v>
      </x:c>
      <x:c r="C9" s="60" t="str">
        <x:v>Viết hành vi mong đợi và case eval</x:v>
      </x:c>
      <x:c r="D9" s="60" t="str">
        <x:v>Case chạy được</x:v>
      </x:c>
      <x:c r="E9" s="60" t="str">
        <x:v>Có tiêu chí chấm cụ thể</x:v>
      </x:c>
      <x:c r="F9" s="60" t="str">
        <x:v>Không chỉ ghi nhận xét chung</x:v>
      </x:c>
      <x:c r="G9" s="60" t="str">
        <x:v>python -c "from ai_core.evaluator import load_cases; print(len(load_cases('eval/cases_h3_11_daily.yaml')))"</x:v>
      </x:c>
    </x:row>
    <x:row r="10" ht="51" customHeight="1">
      <x:c r="A10" s="60" t="n">
        <x:v>5</x:v>
      </x:c>
      <x:c r="B10" s="60" t="n">
        <x:v>5</x:v>
      </x:c>
      <x:c r="C10" s="60" t="str">
        <x:v>Chạy kiểm tra định nghĩa hoàn thành</x:v>
      </x:c>
      <x:c r="D10" s="60" t="str">
        <x:v>CSV + JSON thống kê</x:v>
      </x:c>
      <x:c r="E10" s="60" t="str">
        <x:v>Tối thiểu 2 case/ngày</x:v>
      </x:c>
      <x:c r="F10" s="60" t="str">
        <x:v>Không bỏ vì task không tạo code</x:v>
      </x:c>
      <x:c r="G10" s="60" t="str">
        <x:v>python scripts\check_h3_11_daily.py --date 2026-08-27</x:v>
      </x:c>
    </x:row>
    <x:row r="12">
      <x:c r="A12" s="32" t="str">
        <x:v>Bốn nhóm lỗi chuẩn</x:v>
      </x:c>
      <x:c r="B12" s="32"/>
      <x:c r="C12" s="32"/>
      <x:c r="D12" s="32"/>
      <x:c r="E12" s="32"/>
      <x:c r="F12" s="32"/>
      <x:c r="G12" s="32"/>
    </x:row>
    <x:row r="13" ht="22.5" customHeight="1">
      <x:c r="A13" s="70" t="str">
        <x:v>Thiếu dữ liệu</x:v>
      </x:c>
      <x:c r="B13" s="70"/>
      <x:c r="C13" s="70" t="str">
        <x:v>Kho dữ liệu/retrieval không đủ bằng chứng.</x:v>
      </x:c>
      <x:c r="D13" s="70"/>
      <x:c r="E13" s="70"/>
      <x:c r="F13" s="70"/>
      <x:c r="G13" s="70"/>
    </x:row>
    <x:row r="14" ht="22.5" customHeight="1">
      <x:c r="A14" s="70" t="str">
        <x:v>Hiểu sai ý</x:v>
      </x:c>
      <x:c r="B14" s="70"/>
      <x:c r="C14" s="70" t="str">
        <x:v>Bot hiểu nhầm mục tiêu, ràng buộc hoặc ngữ cảnh khách.</x:v>
      </x:c>
      <x:c r="D14" s="70"/>
      <x:c r="E14" s="70"/>
      <x:c r="F14" s="70"/>
      <x:c r="G14" s="70"/>
    </x:row>
    <x:row r="15" ht="22.5" customHeight="1">
      <x:c r="A15" s="70" t="str">
        <x:v>Trả lời khô cứng</x:v>
      </x:c>
      <x:c r="B15" s="70"/>
      <x:c r="C15" s="70" t="str">
        <x:v>Nội dung có thể không sai nhưng thiếu tự nhiên, không đúng hội thoại Sale.</x:v>
      </x:c>
      <x:c r="D15" s="70"/>
      <x:c r="E15" s="70"/>
      <x:c r="F15" s="70"/>
      <x:c r="G15" s="70"/>
    </x:row>
    <x:row r="16" ht="22.5" customHeight="1">
      <x:c r="A16" s="70" t="str">
        <x:v>Guardrail chặn nhầm</x:v>
      </x:c>
      <x:c r="B16" s="70"/>
      <x:c r="C16" s="70" t="str">
        <x:v>Yêu cầu hợp lệ bị thay bằng câu an toàn/chuyển người.</x:v>
      </x:c>
      <x:c r="D16" s="70"/>
      <x:c r="E16" s="70"/>
      <x:c r="F16" s="70"/>
      <x:c r="G16" s="70"/>
    </x:row>
  </x:sheetData>
  <x:mergeCells>
    <x:mergeCell ref="A1:G2"/>
    <x:mergeCell ref="A3:G3"/>
    <x:mergeCell ref="A12:G12"/>
    <x:mergeCell ref="A13:B13"/>
    <x:mergeCell ref="C13:G13"/>
    <x:mergeCell ref="A14:B14"/>
    <x:mergeCell ref="C14:G14"/>
    <x:mergeCell ref="A15:B15"/>
    <x:mergeCell ref="C15:G15"/>
    <x:mergeCell ref="A16:B16"/>
    <x:mergeCell ref="C16:G16"/>
  </x:mergeCells>
  <x:conditionalFormatting sqref="A6:G10">
    <x:cfRule type="expression" dxfId="5" priority="1">
      <x:formula>MOD(ROW(),2)=0</x:formula>
    </x:cfRule>
  </x:conditionalFormatting>
  <x:pageMargins left="0.7" right="0.7" top="0.75" bottom="0.75" header="0.3" footer="0.3"/>
</x:worksheet>
</file>